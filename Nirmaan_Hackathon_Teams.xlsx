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" sheetId="1" state="visible" r:id="rId3"/>
  </sheets>
  <definedNames>
    <definedName function="false" hidden="true" localSheetId="0" name="_xlnm._FilterDatabase" vbProcedure="false">Teams!$A$1:$J$51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<sst xmlns="http://schemas.openxmlformats.org/spreadsheetml/2006/main" count="407" uniqueCount="382">
  <si>
    <t xml:space="preserve">TEAM NAME</t>
  </si>
  <si>
    <t xml:space="preserve">COLLEGE NAME</t>
  </si>
  <si>
    <t xml:space="preserve">TEAM LEADER'S NAME</t>
  </si>
  <si>
    <t xml:space="preserve">LEADER CONTACT NUMBER</t>
  </si>
  <si>
    <t xml:space="preserve">LEADER EMAIL</t>
  </si>
  <si>
    <t xml:space="preserve">MEMBER 1 NAME &amp; CONTACT</t>
  </si>
  <si>
    <t xml:space="preserve">MEMBER 2 NAME &amp; CONTACT</t>
  </si>
  <si>
    <t xml:space="preserve">MEMBER 3 NAME &amp; CONTACT</t>
  </si>
  <si>
    <t xml:space="preserve">TEAM SIZE (incl. leader)</t>
  </si>
  <si>
    <t xml:space="preserve">NOTES</t>
  </si>
  <si>
    <t xml:space="preserve">Muggles</t>
  </si>
  <si>
    <t xml:space="preserve">Nitte Meenakshi Institute of Technology, Bengaluru</t>
  </si>
  <si>
    <t xml:space="preserve">Sagar N M</t>
  </si>
  <si>
    <t xml:space="preserve">8050327954</t>
  </si>
  <si>
    <t xml:space="preserve">1nt24cs238.sagar@nmit.ac.in</t>
  </si>
  <si>
    <t xml:space="preserve">Sharan Sanadi - 6361407400</t>
  </si>
  <si>
    <t xml:space="preserve">Spoorthi MG - 6363577182</t>
  </si>
  <si>
    <t xml:space="preserve">Omkar Biradarpatil - 9353255112</t>
  </si>
  <si>
    <t xml:space="preserve">Logic Forge</t>
  </si>
  <si>
    <t xml:space="preserve">Bangalore Institute of Technology</t>
  </si>
  <si>
    <t xml:space="preserve">Vamshi Krishna K M</t>
  </si>
  <si>
    <t xml:space="preserve">6363582746</t>
  </si>
  <si>
    <t xml:space="preserve">vamshikrishms@gmail.com</t>
  </si>
  <si>
    <t xml:space="preserve">Sudhindra M Acharya - 7899610131</t>
  </si>
  <si>
    <t xml:space="preserve">Charan N - 9731480089</t>
  </si>
  <si>
    <t xml:space="preserve">Sai Kumar - 9008465670</t>
  </si>
  <si>
    <t xml:space="preserve">Ctrl+Care</t>
  </si>
  <si>
    <t xml:space="preserve">BMSIT</t>
  </si>
  <si>
    <t xml:space="preserve">Padma Varshini D</t>
  </si>
  <si>
    <t xml:space="preserve">7892745619</t>
  </si>
  <si>
    <t xml:space="preserve">amruthapvd4@gmail.com</t>
  </si>
  <si>
    <t xml:space="preserve">Mehal Bhagat - 7760223165</t>
  </si>
  <si>
    <t xml:space="preserve">Purvitha C - 9880785225</t>
  </si>
  <si>
    <t xml:space="preserve">FLEETMIND</t>
  </si>
  <si>
    <t xml:space="preserve">BHUMIKA U</t>
  </si>
  <si>
    <t xml:space="preserve">6362006731</t>
  </si>
  <si>
    <t xml:space="preserve">bhumikaumesh237@gmail.com</t>
  </si>
  <si>
    <t xml:space="preserve">LIKHITHA C - 9019410010</t>
  </si>
  <si>
    <t xml:space="preserve">JEEVITHA H N - 8073675225</t>
  </si>
  <si>
    <t xml:space="preserve">VORTEX</t>
  </si>
  <si>
    <t xml:space="preserve">BMS Institute of Technology and Management</t>
  </si>
  <si>
    <t xml:space="preserve">Sharan K U</t>
  </si>
  <si>
    <t xml:space="preserve">9353635601</t>
  </si>
  <si>
    <t xml:space="preserve">sharankugowda@gmail.com</t>
  </si>
  <si>
    <t xml:space="preserve">M S Sitaansh - 7483901425</t>
  </si>
  <si>
    <t xml:space="preserve">Shubham Injatkar - 9019911248</t>
  </si>
  <si>
    <t xml:space="preserve">Kriday Rasthogi - 8851366889</t>
  </si>
  <si>
    <t xml:space="preserve">Tragic bytes</t>
  </si>
  <si>
    <t xml:space="preserve">Lakshmi.J.Shastry</t>
  </si>
  <si>
    <t xml:space="preserve">9535863706</t>
  </si>
  <si>
    <t xml:space="preserve">lakshmijshastry@gmail.com</t>
  </si>
  <si>
    <t xml:space="preserve">Mahesh Kashyap Yogish - 9741197362</t>
  </si>
  <si>
    <t xml:space="preserve">Kshitiz Khandelwal - 8880220080</t>
  </si>
  <si>
    <t xml:space="preserve">Prajwal V - 9900161427</t>
  </si>
  <si>
    <t xml:space="preserve">The Third Byte</t>
  </si>
  <si>
    <t xml:space="preserve">Ankitha Narayan</t>
  </si>
  <si>
    <t xml:space="preserve">8073101257</t>
  </si>
  <si>
    <t xml:space="preserve">25ug1bycs0343@bmsit.in</t>
  </si>
  <si>
    <t xml:space="preserve">Dhanyashree K P - 9972683532</t>
  </si>
  <si>
    <t xml:space="preserve">Mekala Chatura Reddy - 7093812118</t>
  </si>
  <si>
    <t xml:space="preserve">Edgevital</t>
  </si>
  <si>
    <t xml:space="preserve">MS Ramaiah Institute of Technology</t>
  </si>
  <si>
    <t xml:space="preserve">Harshita Shakya</t>
  </si>
  <si>
    <t xml:space="preserve">9193037843</t>
  </si>
  <si>
    <t xml:space="preserve">shakyaharshita71@gmail.com</t>
  </si>
  <si>
    <t xml:space="preserve">Vaibhav Chindalia - 9903381494</t>
  </si>
  <si>
    <t xml:space="preserve">Omi Agarwal - 7003290766</t>
  </si>
  <si>
    <t xml:space="preserve">Abhishek Iyer - 9611507900</t>
  </si>
  <si>
    <t xml:space="preserve">nexbyte</t>
  </si>
  <si>
    <t xml:space="preserve">Luzain Sara</t>
  </si>
  <si>
    <t xml:space="preserve">9845905544</t>
  </si>
  <si>
    <t xml:space="preserve">saraluzain7@gmail.com</t>
  </si>
  <si>
    <t xml:space="preserve">Rachana Shende - 9136669819</t>
  </si>
  <si>
    <t xml:space="preserve">Vaishnavi H - 8088854323</t>
  </si>
  <si>
    <t xml:space="preserve">Form Member 3 = 'Luzain Sara Mansoor' 9845905544 = leader repeated. Removed.</t>
  </si>
  <si>
    <t xml:space="preserve">QuadCore</t>
  </si>
  <si>
    <t xml:space="preserve">Udit Singhi</t>
  </si>
  <si>
    <t xml:space="preserve">8100532160</t>
  </si>
  <si>
    <t xml:space="preserve">uditsinghi930@gmail.com</t>
  </si>
  <si>
    <t xml:space="preserve">Aanya Vishwakarma - 8092810088</t>
  </si>
  <si>
    <t xml:space="preserve">Alisha Anthony - 6267923731</t>
  </si>
  <si>
    <t xml:space="preserve">Shreyash Shukla - 8709501602</t>
  </si>
  <si>
    <t xml:space="preserve">UNO-PI</t>
  </si>
  <si>
    <t xml:space="preserve">Hindusthan College of Technology, Salem</t>
  </si>
  <si>
    <t xml:space="preserve">Srivatsan A</t>
  </si>
  <si>
    <t xml:space="preserve">6381855996</t>
  </si>
  <si>
    <t xml:space="preserve">srivatsan687@gmail.com</t>
  </si>
  <si>
    <t xml:space="preserve">Giritharan R - 8300165464</t>
  </si>
  <si>
    <t xml:space="preserve">Keerthi J P - 9944969160</t>
  </si>
  <si>
    <t xml:space="preserve">CLASHERS</t>
  </si>
  <si>
    <t xml:space="preserve">BNM Institute of Technology and Bangalore Institute of Technology</t>
  </si>
  <si>
    <t xml:space="preserve">Rajath DK</t>
  </si>
  <si>
    <t xml:space="preserve">7483636715</t>
  </si>
  <si>
    <t xml:space="preserve">rajathdkori1@gmail.com</t>
  </si>
  <si>
    <t xml:space="preserve">Amogh MS - 9880064960</t>
  </si>
  <si>
    <t xml:space="preserve">Tejas KP - 9019304104</t>
  </si>
  <si>
    <t xml:space="preserve">Venkatesh N - 9481425173</t>
  </si>
  <si>
    <t xml:space="preserve">Trojan Hex</t>
  </si>
  <si>
    <t xml:space="preserve">Nitte Meenakshi Institute of Technology</t>
  </si>
  <si>
    <t xml:space="preserve">Pothur Abhinav</t>
  </si>
  <si>
    <t xml:space="preserve">9741521314</t>
  </si>
  <si>
    <t xml:space="preserve">abhinav007it@gmail.com</t>
  </si>
  <si>
    <t xml:space="preserve">Sukesh R Gowda - 7019214114</t>
  </si>
  <si>
    <t xml:space="preserve">Sujay B Hosagowdar - 8500932515</t>
  </si>
  <si>
    <t xml:space="preserve">Tejus Mohan - 9148473854</t>
  </si>
  <si>
    <t xml:space="preserve">Docker Ducks</t>
  </si>
  <si>
    <t xml:space="preserve">BMS Institute of Technology</t>
  </si>
  <si>
    <t xml:space="preserve">Madiha Anjum</t>
  </si>
  <si>
    <t xml:space="preserve">7795329028</t>
  </si>
  <si>
    <t xml:space="preserve">madihaanjum448@gmail.com</t>
  </si>
  <si>
    <t xml:space="preserve">Annanya Sharma - 9588776069</t>
  </si>
  <si>
    <t xml:space="preserve">Anshu Raj - 6201480511</t>
  </si>
  <si>
    <t xml:space="preserve">Havana Ahlada - 9449809613</t>
  </si>
  <si>
    <t xml:space="preserve">Paritrana</t>
  </si>
  <si>
    <t xml:space="preserve">Vishwas CM</t>
  </si>
  <si>
    <t xml:space="preserve">8310098445</t>
  </si>
  <si>
    <t xml:space="preserve">vishwascmv1478@gmail.com</t>
  </si>
  <si>
    <t xml:space="preserve">Shreeniketh V - 7483357391</t>
  </si>
  <si>
    <t xml:space="preserve">Inchara KG - 9606960705</t>
  </si>
  <si>
    <t xml:space="preserve">Samarth Salunke - 9449307481</t>
  </si>
  <si>
    <t xml:space="preserve">Virtual Soldiers</t>
  </si>
  <si>
    <t xml:space="preserve">Dayananda Sagar College of Engineering</t>
  </si>
  <si>
    <t xml:space="preserve">Vishal Raj</t>
  </si>
  <si>
    <t xml:space="preserve">9608984887</t>
  </si>
  <si>
    <t xml:space="preserve">er.vishalraj01@gmail.com</t>
  </si>
  <si>
    <t xml:space="preserve">Mohaneesh Purbia - 7878735513</t>
  </si>
  <si>
    <t xml:space="preserve">Yukta Manral - 8860569481</t>
  </si>
  <si>
    <t xml:space="preserve">Annapoorna S - 6363945305</t>
  </si>
  <si>
    <t xml:space="preserve">Triple Espresso</t>
  </si>
  <si>
    <t xml:space="preserve">Avani Kollur</t>
  </si>
  <si>
    <t xml:space="preserve">9019306404</t>
  </si>
  <si>
    <t xml:space="preserve">1nt24ec026.avani@nmit.ac.in</t>
  </si>
  <si>
    <t xml:space="preserve">Manya M Poojari - 8073470911</t>
  </si>
  <si>
    <t xml:space="preserve">Ananya S K - 6361478574</t>
  </si>
  <si>
    <t xml:space="preserve">Form Member 3 = 'Avani Kollur' 9019306404 = leader repeated. Removed.</t>
  </si>
  <si>
    <t xml:space="preserve">Codalist</t>
  </si>
  <si>
    <t xml:space="preserve">JSS Science and Technology University</t>
  </si>
  <si>
    <t xml:space="preserve">Mohar Barat</t>
  </si>
  <si>
    <t xml:space="preserve">9088362686</t>
  </si>
  <si>
    <t xml:space="preserve">466mohar@gmail.com</t>
  </si>
  <si>
    <t xml:space="preserve">Sneha Mukhopadhyay - 8240925009</t>
  </si>
  <si>
    <t xml:space="preserve">Govind - 6380985427</t>
  </si>
  <si>
    <t xml:space="preserve">Maria Arshad - 7004671300</t>
  </si>
  <si>
    <t xml:space="preserve">MergeInfinity</t>
  </si>
  <si>
    <t xml:space="preserve">SVKM's Dwarkadas J Sanghvi College of Engineering</t>
  </si>
  <si>
    <t xml:space="preserve">Dhruv Nilesh Save</t>
  </si>
  <si>
    <t xml:space="preserve">9579649407</t>
  </si>
  <si>
    <t xml:space="preserve">dhruvsave2311@gmail.com</t>
  </si>
  <si>
    <t xml:space="preserve">Megh Bari - 9021935820</t>
  </si>
  <si>
    <t xml:space="preserve">Samarth Bhirud - 8408917498</t>
  </si>
  <si>
    <t xml:space="preserve">Byte_me</t>
  </si>
  <si>
    <t xml:space="preserve">BMSIT&amp;M</t>
  </si>
  <si>
    <t xml:space="preserve">Lakshya Sharma</t>
  </si>
  <si>
    <t xml:space="preserve">9211647877</t>
  </si>
  <si>
    <t xml:space="preserve">itslakshya777@gmail.com</t>
  </si>
  <si>
    <t xml:space="preserve">M Vineeth - 9035338429</t>
  </si>
  <si>
    <t xml:space="preserve">Abhiram Adiga - 7676981289</t>
  </si>
  <si>
    <t xml:space="preserve">Piyush Salunke - 8780517623</t>
  </si>
  <si>
    <t xml:space="preserve">Electrified</t>
  </si>
  <si>
    <t xml:space="preserve">Soumili Mitra</t>
  </si>
  <si>
    <t xml:space="preserve">9104309029</t>
  </si>
  <si>
    <t xml:space="preserve">soumilimitra07@gmail.com</t>
  </si>
  <si>
    <t xml:space="preserve">Chandana Sree V - 9032651735</t>
  </si>
  <si>
    <t xml:space="preserve">Rashmi G B - 9632362880</t>
  </si>
  <si>
    <t xml:space="preserve">Suvarna Narawade - 9731710760</t>
  </si>
  <si>
    <t xml:space="preserve">3 byte builders</t>
  </si>
  <si>
    <t xml:space="preserve">JSS Academy of Technical Education, Bangalore</t>
  </si>
  <si>
    <t xml:space="preserve">Amith H P</t>
  </si>
  <si>
    <t xml:space="preserve">6360728976</t>
  </si>
  <si>
    <t xml:space="preserve">amithveerapura@gmail.com</t>
  </si>
  <si>
    <t xml:space="preserve">Gagandeep Vinyak Bhat - 8660784549</t>
  </si>
  <si>
    <t xml:space="preserve">Akhilesh P U - 8951611840</t>
  </si>
  <si>
    <t xml:space="preserve">ChaCha</t>
  </si>
  <si>
    <t xml:space="preserve">K. Ranjiv Krishnan</t>
  </si>
  <si>
    <t xml:space="preserve">6000428266</t>
  </si>
  <si>
    <t xml:space="preserve">ranjivnair7@gmail.com</t>
  </si>
  <si>
    <t xml:space="preserve">Anish Chetri - 6000428266</t>
  </si>
  <si>
    <t xml:space="preserve">Nethanya GH - 9071779666</t>
  </si>
  <si>
    <t xml:space="preserve">Mohammed Tazeem - 7892784398</t>
  </si>
  <si>
    <t xml:space="preserve">Member 1 number same as leader's. Check.</t>
  </si>
  <si>
    <t xml:space="preserve">AERONEX</t>
  </si>
  <si>
    <t xml:space="preserve">KLE Technological University, Hubli</t>
  </si>
  <si>
    <t xml:space="preserve">Ashwath</t>
  </si>
  <si>
    <t xml:space="preserve">8618368454</t>
  </si>
  <si>
    <t xml:space="preserve">ashwathyara02@gmail.com</t>
  </si>
  <si>
    <t xml:space="preserve">Shreya C - 9902462351</t>
  </si>
  <si>
    <t xml:space="preserve">Shashank R - 7204091373</t>
  </si>
  <si>
    <t xml:space="preserve">Drushya Deshpande - 7022773831</t>
  </si>
  <si>
    <t xml:space="preserve">Arigato Algorithms</t>
  </si>
  <si>
    <t xml:space="preserve">Navya Nawal</t>
  </si>
  <si>
    <t xml:space="preserve">9051888822</t>
  </si>
  <si>
    <t xml:space="preserve">navyanawal4396@gmail.com</t>
  </si>
  <si>
    <t xml:space="preserve">Anurag Dwivedi - 7004642901</t>
  </si>
  <si>
    <t xml:space="preserve">Gaurav S - 8310570396</t>
  </si>
  <si>
    <t xml:space="preserve">KK Praveen - 897136999</t>
  </si>
  <si>
    <t xml:space="preserve">KK Praveen number only 9 digits. Check.</t>
  </si>
  <si>
    <t xml:space="preserve">Codegeeks</t>
  </si>
  <si>
    <t xml:space="preserve">Jawaharlal Nehru Technological University, Anantapur</t>
  </si>
  <si>
    <t xml:space="preserve">Avanthi</t>
  </si>
  <si>
    <t xml:space="preserve">9392720838</t>
  </si>
  <si>
    <t xml:space="preserve">bheemireddyavanthi@gmail.com</t>
  </si>
  <si>
    <t xml:space="preserve">Madhunandan Nihaarika - 9573794899</t>
  </si>
  <si>
    <t xml:space="preserve">S. Tabassum - 8121916822</t>
  </si>
  <si>
    <t xml:space="preserve">Muhammad Sabith - 8688208826</t>
  </si>
  <si>
    <t xml:space="preserve">The Ravagers</t>
  </si>
  <si>
    <t xml:space="preserve">Sricharan S Sharma</t>
  </si>
  <si>
    <t xml:space="preserve">9449106910</t>
  </si>
  <si>
    <t xml:space="preserve">sricharan15ssharma@gmail.com</t>
  </si>
  <si>
    <t xml:space="preserve">M Hasini - 9845136955</t>
  </si>
  <si>
    <t xml:space="preserve">Chandas N - 9972793052</t>
  </si>
  <si>
    <t xml:space="preserve">Abhay R Bhat - 9364009250</t>
  </si>
  <si>
    <t xml:space="preserve">Embedded Minds</t>
  </si>
  <si>
    <t xml:space="preserve">Shivam Shantkumar</t>
  </si>
  <si>
    <t xml:space="preserve">8792128350</t>
  </si>
  <si>
    <t xml:space="preserve">shivams7082@gmail.com</t>
  </si>
  <si>
    <t xml:space="preserve">Yana Agrawal - 9916146009</t>
  </si>
  <si>
    <t xml:space="preserve">Diva M - 8660530684</t>
  </si>
  <si>
    <t xml:space="preserve">Vikas Sajjan - 9008577793</t>
  </si>
  <si>
    <t xml:space="preserve">NightCrawler (NMIT)</t>
  </si>
  <si>
    <t xml:space="preserve">Sumukha R</t>
  </si>
  <si>
    <t xml:space="preserve">8197020924</t>
  </si>
  <si>
    <t xml:space="preserve">1nt24ec160.sumukha@nmit.ac.in</t>
  </si>
  <si>
    <t xml:space="preserve">G Sai Harshith - 8310337749</t>
  </si>
  <si>
    <t xml:space="preserve">R Varshini - 8296004149</t>
  </si>
  <si>
    <t xml:space="preserve">Mithun Chakravarthy S - 9035936874</t>
  </si>
  <si>
    <t xml:space="preserve">ByteBenders</t>
  </si>
  <si>
    <t xml:space="preserve">KLE Institute of Technology, Hubballi</t>
  </si>
  <si>
    <t xml:space="preserve">Ankit S Kulkarni</t>
  </si>
  <si>
    <t xml:space="preserve">9483651182</t>
  </si>
  <si>
    <t xml:space="preserve">ankitskulkarni@gmail.com</t>
  </si>
  <si>
    <t xml:space="preserve">Pooja Dundannavar - 8088790768</t>
  </si>
  <si>
    <t xml:space="preserve">Rishab Mangannavar - 8217257181</t>
  </si>
  <si>
    <t xml:space="preserve">Siddharth Jamkandi - 7483445326</t>
  </si>
  <si>
    <t xml:space="preserve">RehabGrip</t>
  </si>
  <si>
    <t xml:space="preserve">Khush Chadha</t>
  </si>
  <si>
    <t xml:space="preserve">8296544137</t>
  </si>
  <si>
    <t xml:space="preserve">khushhc2007@gmail.com</t>
  </si>
  <si>
    <t xml:space="preserve">Rajat AN - 8431002631</t>
  </si>
  <si>
    <t xml:space="preserve">Suraj Rajesh - 9489063404</t>
  </si>
  <si>
    <t xml:space="preserve">YoungDumb&amp;Broke</t>
  </si>
  <si>
    <t xml:space="preserve">Likithashri</t>
  </si>
  <si>
    <t xml:space="preserve">7676496469</t>
  </si>
  <si>
    <t xml:space="preserve">liki200tha@gmail.com</t>
  </si>
  <si>
    <t xml:space="preserve">Aishwarya Manoj - 8137846014</t>
  </si>
  <si>
    <t xml:space="preserve">Shubhashree S - 8497037653</t>
  </si>
  <si>
    <t xml:space="preserve">YantraVidya</t>
  </si>
  <si>
    <t xml:space="preserve">Raj Shekhar Singh</t>
  </si>
  <si>
    <t xml:space="preserve">9341936128</t>
  </si>
  <si>
    <t xml:space="preserve">rajshekhar9341@gmail.com</t>
  </si>
  <si>
    <t xml:space="preserve">Ayush Bhardwaj - 7022035403</t>
  </si>
  <si>
    <t xml:space="preserve">Manjunath Biradar - 8951823268</t>
  </si>
  <si>
    <t xml:space="preserve">Frequency Fusion</t>
  </si>
  <si>
    <t xml:space="preserve">Bhuvan M H</t>
  </si>
  <si>
    <t xml:space="preserve">9113611826</t>
  </si>
  <si>
    <t xml:space="preserve">bhuvanmh2007@gmail.com</t>
  </si>
  <si>
    <t xml:space="preserve">Harikrishna G - 9535802099</t>
  </si>
  <si>
    <t xml:space="preserve">Bala Skandha C - 9741498048</t>
  </si>
  <si>
    <t xml:space="preserve">Puneeth M - 8310991294</t>
  </si>
  <si>
    <t xml:space="preserve">Rasam</t>
  </si>
  <si>
    <t xml:space="preserve">Samanvitha G Nayak</t>
  </si>
  <si>
    <t xml:space="preserve">9901983531</t>
  </si>
  <si>
    <t xml:space="preserve">samanvithagnayak@gmail.com</t>
  </si>
  <si>
    <t xml:space="preserve">Rudrarajsinh Atodariya - 6355867033</t>
  </si>
  <si>
    <t xml:space="preserve">Anthony Fernandes - 7975712675</t>
  </si>
  <si>
    <t xml:space="preserve">The big 4</t>
  </si>
  <si>
    <t xml:space="preserve">Vishal GF</t>
  </si>
  <si>
    <t xml:space="preserve">9380833326</t>
  </si>
  <si>
    <t xml:space="preserve">gfvishal391@gmail.com</t>
  </si>
  <si>
    <t xml:space="preserve">Rahul U - 9606165929</t>
  </si>
  <si>
    <t xml:space="preserve">Shreya A Hangal - 7349015433</t>
  </si>
  <si>
    <t xml:space="preserve">Akash Kumar M K - 9916473646</t>
  </si>
  <si>
    <t xml:space="preserve">CacheUs</t>
  </si>
  <si>
    <t xml:space="preserve">Aadvik Nandisha Gowda</t>
  </si>
  <si>
    <t xml:space="preserve">9606318385</t>
  </si>
  <si>
    <t xml:space="preserve">24ug1bycs221@bmsit.in</t>
  </si>
  <si>
    <t xml:space="preserve">Shashank Sriram - 9164278750</t>
  </si>
  <si>
    <t xml:space="preserve">Lakshay Khatri - 9971853641</t>
  </si>
  <si>
    <t xml:space="preserve">Abhiram R - 7019026744</t>
  </si>
  <si>
    <t xml:space="preserve">Shadow quant</t>
  </si>
  <si>
    <t xml:space="preserve">Bapuji Institute of Engineering and Technology</t>
  </si>
  <si>
    <t xml:space="preserve">Utsav B Raikar</t>
  </si>
  <si>
    <t xml:space="preserve">6361177131</t>
  </si>
  <si>
    <t xml:space="preserve">ubraikar@gmail.com</t>
  </si>
  <si>
    <t xml:space="preserve">Indu R Pawar - 7975514930</t>
  </si>
  <si>
    <t xml:space="preserve">Bindu R Pawar - 7975450710</t>
  </si>
  <si>
    <t xml:space="preserve">Sujan R Vernaker - 7338031413</t>
  </si>
  <si>
    <t xml:space="preserve">Tech Spark</t>
  </si>
  <si>
    <t xml:space="preserve">Cambridge Institute of Technology, North Campus</t>
  </si>
  <si>
    <t xml:space="preserve">Pikki Gouthami</t>
  </si>
  <si>
    <t xml:space="preserve">8073480143</t>
  </si>
  <si>
    <t xml:space="preserve">pikkigouthami3@gmail.com</t>
  </si>
  <si>
    <t xml:space="preserve">Manoj R Pyater - 7483876932</t>
  </si>
  <si>
    <t xml:space="preserve">Mahalakshmi S - 9180141574</t>
  </si>
  <si>
    <t xml:space="preserve">Form Member 1 = 'Pikkigouthami' 8073480143 = leader repeated. Removed.</t>
  </si>
  <si>
    <t xml:space="preserve">Silicon Syndicate</t>
  </si>
  <si>
    <t xml:space="preserve">Rishika Ranjan</t>
  </si>
  <si>
    <t xml:space="preserve">9365413804</t>
  </si>
  <si>
    <t xml:space="preserve">rishikaranjanhps@gmail.com</t>
  </si>
  <si>
    <t xml:space="preserve">Niharika Nawani - 6378575350</t>
  </si>
  <si>
    <t xml:space="preserve">Prajwal Gokhale - 9880769319</t>
  </si>
  <si>
    <t xml:space="preserve">Subhranshu Behera - 9938533734</t>
  </si>
  <si>
    <t xml:space="preserve">Cyber Citadel</t>
  </si>
  <si>
    <t xml:space="preserve">Akshita Raj</t>
  </si>
  <si>
    <t xml:space="preserve">6206571524</t>
  </si>
  <si>
    <t xml:space="preserve">akshitasuman2009@gmail.com</t>
  </si>
  <si>
    <t xml:space="preserve">Aananya Raj Srivastava - 9648935915</t>
  </si>
  <si>
    <t xml:space="preserve">Dipali Tirkey - 7856837123</t>
  </si>
  <si>
    <t xml:space="preserve">Value</t>
  </si>
  <si>
    <t xml:space="preserve">Balaji G S</t>
  </si>
  <si>
    <t xml:space="preserve">6362745450</t>
  </si>
  <si>
    <t xml:space="preserve">balajigs888@gmail.com</t>
  </si>
  <si>
    <t xml:space="preserve">Abhishek Kokkari - 9743966125</t>
  </si>
  <si>
    <t xml:space="preserve">Suprith YS - 8050803299</t>
  </si>
  <si>
    <t xml:space="preserve">Akash Gaonkar - 9483206184</t>
  </si>
  <si>
    <t xml:space="preserve">Error404: NotFound</t>
  </si>
  <si>
    <t xml:space="preserve">Shri Madhwa Vadhiraja Institute of Technology and Management, Bantakal, Udupi</t>
  </si>
  <si>
    <t xml:space="preserve">Milanraj</t>
  </si>
  <si>
    <t xml:space="preserve">6362672142</t>
  </si>
  <si>
    <t xml:space="preserve">milanraj.23cs071@sode-edu.in</t>
  </si>
  <si>
    <t xml:space="preserve">Manya Patkar - 8660350280</t>
  </si>
  <si>
    <t xml:space="preserve">Manya - 7019047677</t>
  </si>
  <si>
    <t xml:space="preserve">Rahul - 9741487028</t>
  </si>
  <si>
    <t xml:space="preserve">The Innov8ors</t>
  </si>
  <si>
    <t xml:space="preserve">Cambridge Institute of Technology, KR Puram, Bangalore</t>
  </si>
  <si>
    <t xml:space="preserve">Bhagya N K</t>
  </si>
  <si>
    <t xml:space="preserve">7795313312</t>
  </si>
  <si>
    <t xml:space="preserve">bhagyank.25cse@cambridge.edu.in</t>
  </si>
  <si>
    <t xml:space="preserve">Rajala Sravani - 9381764676</t>
  </si>
  <si>
    <t xml:space="preserve">Amulya M - 9686368334</t>
  </si>
  <si>
    <t xml:space="preserve">Sanjana P R - 9845090715</t>
  </si>
  <si>
    <t xml:space="preserve">Quantum Traid</t>
  </si>
  <si>
    <t xml:space="preserve">V Nanda Kishore Naik</t>
  </si>
  <si>
    <t xml:space="preserve">7569697276</t>
  </si>
  <si>
    <t xml:space="preserve">nandakishorevankadoth@gmail.com</t>
  </si>
  <si>
    <t xml:space="preserve">Paila Divyesh Reddy - 8790349270</t>
  </si>
  <si>
    <t xml:space="preserve">Prashant Thakur - 8960917245</t>
  </si>
  <si>
    <t xml:space="preserve">Axiom</t>
  </si>
  <si>
    <t xml:space="preserve">Brindavan College of Engineering</t>
  </si>
  <si>
    <t xml:space="preserve">Tharjun</t>
  </si>
  <si>
    <t xml:space="preserve">9113067213</t>
  </si>
  <si>
    <t xml:space="preserve">tharjun00@gmail.com</t>
  </si>
  <si>
    <t xml:space="preserve">Tharjun S - 9113067212</t>
  </si>
  <si>
    <t xml:space="preserve">Mohan HM - 9019177688</t>
  </si>
  <si>
    <t xml:space="preserve">Ameeth Gowda - 9739915763</t>
  </si>
  <si>
    <t xml:space="preserve">Member 1 'Tharjun S' looks like leader (number differs by 1 digit). Check.</t>
  </si>
  <si>
    <t xml:space="preserve">Team ASTRA</t>
  </si>
  <si>
    <t xml:space="preserve">Pratham R Raikar</t>
  </si>
  <si>
    <t xml:space="preserve">8618095195</t>
  </si>
  <si>
    <t xml:space="preserve">prathamrraikar@gmail.com</t>
  </si>
  <si>
    <t xml:space="preserve">Lekhan V T - 7676309842</t>
  </si>
  <si>
    <t xml:space="preserve">Savya V Vernekar - 7204445363</t>
  </si>
  <si>
    <t xml:space="preserve">(name not given) - 8792763135</t>
  </si>
  <si>
    <t xml:space="preserve">Member 3 name missing in form.</t>
  </si>
  <si>
    <t xml:space="preserve">MindSight</t>
  </si>
  <si>
    <t xml:space="preserve">REVA University</t>
  </si>
  <si>
    <t xml:space="preserve">Bushra Fathima</t>
  </si>
  <si>
    <t xml:space="preserve">8971030416</t>
  </si>
  <si>
    <t xml:space="preserve">F.bushra1006@gmail.com</t>
  </si>
  <si>
    <t xml:space="preserve">Chinmayi K - 9902613652</t>
  </si>
  <si>
    <t xml:space="preserve">Janani Sivapoorani - 9740746042</t>
  </si>
  <si>
    <t xml:space="preserve">Aishwarya PS - 8618384174</t>
  </si>
  <si>
    <t xml:space="preserve">SmartGuard</t>
  </si>
  <si>
    <t xml:space="preserve">Easwari Engineering College</t>
  </si>
  <si>
    <t xml:space="preserve">Harini S</t>
  </si>
  <si>
    <t xml:space="preserve">8438737994</t>
  </si>
  <si>
    <t xml:space="preserve">310625102005@eec.srmrmp.edu.in</t>
  </si>
  <si>
    <t xml:space="preserve">Tharaneish MJ - 8807131513</t>
  </si>
  <si>
    <t xml:space="preserve">Karthick Jeeva B - 7339669685</t>
  </si>
  <si>
    <t xml:space="preserve">Codexa</t>
  </si>
  <si>
    <t xml:space="preserve">The Oxford College of Engineering</t>
  </si>
  <si>
    <t xml:space="preserve">Jahnavi N</t>
  </si>
  <si>
    <t xml:space="preserve">7349746162</t>
  </si>
  <si>
    <t xml:space="preserve">jahnavi2665@gmail.com</t>
  </si>
  <si>
    <t xml:space="preserve">K Meghanath Reddy - 7676658911</t>
  </si>
  <si>
    <t xml:space="preserve">Kajal Gupta R - 8217463904</t>
  </si>
  <si>
    <t xml:space="preserve">Aarushi Rai - 7070050589</t>
  </si>
  <si>
    <t xml:space="preserve">TOTAL TEAMS</t>
  </si>
  <si>
    <t xml:space="preserve">TOTAL PARTICIPANTS</t>
  </si>
  <si>
    <t xml:space="preserve">Teams of 4</t>
  </si>
  <si>
    <t xml:space="preserve">Teams of 3</t>
  </si>
  <si>
    <t xml:space="preserve">Teams of 2</t>
  </si>
  <si>
    <t xml:space="preserve">Source: Nirmaan 25 Hour Hackathon registration form (PDF). Phones normalised to 10 digits (spaces/+91 removed). Duplicate leader-as-member entries removed; see NOTES.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</si>
</sst>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8" min="6" style="0" width="32"/>
    <col collapsed="false" customWidth="true" hidden="false" outlineLevel="0" max="9" min="9" style="0" width="14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4" t="s">
        <v>13</v>
      </c>
      <c r="E2" s="2" t="s">
        <v>14</v>
      </c>
      <c r="F2" s="3" t="s">
        <v>15</v>
      </c>
      <c r="G2" s="3" t="s">
        <v>16</v>
      </c>
      <c r="H2" s="3" t="s">
        <v>17</v>
      </c>
      <c r="I2" s="5" t="n">
        <f aca="false">1+COUNTA(F2:H2)</f>
        <v>4</v>
      </c>
      <c r="J2" s="3"/>
    </row>
    <row r="3" customFormat="false" ht="15" hidden="false" customHeight="false" outlineLevel="0" collapsed="false">
      <c r="A3" s="2" t="s">
        <v>18</v>
      </c>
      <c r="B3" s="3" t="s">
        <v>19</v>
      </c>
      <c r="C3" s="2" t="s">
        <v>20</v>
      </c>
      <c r="D3" s="4" t="s">
        <v>21</v>
      </c>
      <c r="E3" s="2" t="s">
        <v>22</v>
      </c>
      <c r="F3" s="3" t="s">
        <v>23</v>
      </c>
      <c r="G3" s="3" t="s">
        <v>24</v>
      </c>
      <c r="H3" s="3" t="s">
        <v>25</v>
      </c>
      <c r="I3" s="5" t="n">
        <f aca="false">1+COUNTA(F3:H3)</f>
        <v>4</v>
      </c>
      <c r="J3" s="3"/>
    </row>
    <row r="4" customFormat="false" ht="15" hidden="false" customHeight="false" outlineLevel="0" collapsed="false">
      <c r="A4" s="2" t="s">
        <v>26</v>
      </c>
      <c r="B4" s="3" t="s">
        <v>27</v>
      </c>
      <c r="C4" s="2" t="s">
        <v>28</v>
      </c>
      <c r="D4" s="4" t="s">
        <v>29</v>
      </c>
      <c r="E4" s="2" t="s">
        <v>30</v>
      </c>
      <c r="F4" s="3" t="s">
        <v>31</v>
      </c>
      <c r="G4" s="3" t="s">
        <v>32</v>
      </c>
      <c r="H4" s="3"/>
      <c r="I4" s="5" t="n">
        <f aca="false">1+COUNTA(F4:H4)</f>
        <v>3</v>
      </c>
      <c r="J4" s="3"/>
    </row>
    <row r="5" customFormat="false" ht="15" hidden="false" customHeight="false" outlineLevel="0" collapsed="false">
      <c r="A5" s="2" t="s">
        <v>33</v>
      </c>
      <c r="B5" s="3" t="s">
        <v>27</v>
      </c>
      <c r="C5" s="2" t="s">
        <v>34</v>
      </c>
      <c r="D5" s="4" t="s">
        <v>35</v>
      </c>
      <c r="E5" s="2" t="s">
        <v>36</v>
      </c>
      <c r="F5" s="3" t="s">
        <v>37</v>
      </c>
      <c r="G5" s="3" t="s">
        <v>38</v>
      </c>
      <c r="H5" s="3"/>
      <c r="I5" s="5" t="n">
        <f aca="false">1+COUNTA(F5:H5)</f>
        <v>3</v>
      </c>
      <c r="J5" s="3"/>
    </row>
    <row r="6" customFormat="false" ht="15" hidden="false" customHeight="false" outlineLevel="0" collapsed="false">
      <c r="A6" s="2" t="s">
        <v>39</v>
      </c>
      <c r="B6" s="3" t="s">
        <v>40</v>
      </c>
      <c r="C6" s="2" t="s">
        <v>41</v>
      </c>
      <c r="D6" s="4" t="s">
        <v>42</v>
      </c>
      <c r="E6" s="2" t="s">
        <v>43</v>
      </c>
      <c r="F6" s="3" t="s">
        <v>44</v>
      </c>
      <c r="G6" s="3" t="s">
        <v>45</v>
      </c>
      <c r="H6" s="3" t="s">
        <v>46</v>
      </c>
      <c r="I6" s="5" t="n">
        <f aca="false">1+COUNTA(F6:H6)</f>
        <v>4</v>
      </c>
      <c r="J6" s="3"/>
    </row>
    <row r="7" customFormat="false" ht="23.85" hidden="false" customHeight="false" outlineLevel="0" collapsed="false">
      <c r="A7" s="2" t="s">
        <v>47</v>
      </c>
      <c r="B7" s="3" t="s">
        <v>40</v>
      </c>
      <c r="C7" s="2" t="s">
        <v>48</v>
      </c>
      <c r="D7" s="4" t="s">
        <v>49</v>
      </c>
      <c r="E7" s="2" t="s">
        <v>50</v>
      </c>
      <c r="F7" s="3" t="s">
        <v>51</v>
      </c>
      <c r="G7" s="3" t="s">
        <v>52</v>
      </c>
      <c r="H7" s="3" t="s">
        <v>53</v>
      </c>
      <c r="I7" s="5" t="n">
        <f aca="false">1+COUNTA(F7:H7)</f>
        <v>4</v>
      </c>
      <c r="J7" s="3"/>
    </row>
    <row r="8" customFormat="false" ht="15" hidden="false" customHeight="false" outlineLevel="0" collapsed="false">
      <c r="A8" s="2" t="s">
        <v>54</v>
      </c>
      <c r="B8" s="3" t="s">
        <v>27</v>
      </c>
      <c r="C8" s="2" t="s">
        <v>55</v>
      </c>
      <c r="D8" s="4" t="s">
        <v>56</v>
      </c>
      <c r="E8" s="2" t="s">
        <v>57</v>
      </c>
      <c r="F8" s="3" t="s">
        <v>58</v>
      </c>
      <c r="G8" s="3" t="s">
        <v>59</v>
      </c>
      <c r="H8" s="3"/>
      <c r="I8" s="5" t="n">
        <f aca="false">1+COUNTA(F8:H8)</f>
        <v>3</v>
      </c>
      <c r="J8" s="3"/>
    </row>
    <row r="9" customFormat="false" ht="15" hidden="false" customHeight="false" outlineLevel="0" collapsed="false">
      <c r="A9" s="2" t="s">
        <v>60</v>
      </c>
      <c r="B9" s="3" t="s">
        <v>61</v>
      </c>
      <c r="C9" s="2" t="s">
        <v>62</v>
      </c>
      <c r="D9" s="4" t="s">
        <v>63</v>
      </c>
      <c r="E9" s="2" t="s">
        <v>64</v>
      </c>
      <c r="F9" s="3" t="s">
        <v>65</v>
      </c>
      <c r="G9" s="3" t="s">
        <v>66</v>
      </c>
      <c r="H9" s="3" t="s">
        <v>67</v>
      </c>
      <c r="I9" s="5" t="n">
        <f aca="false">1+COUNTA(F9:H9)</f>
        <v>4</v>
      </c>
      <c r="J9" s="3"/>
    </row>
    <row r="10" customFormat="false" ht="23.85" hidden="false" customHeight="false" outlineLevel="0" collapsed="false">
      <c r="A10" s="2" t="s">
        <v>68</v>
      </c>
      <c r="B10" s="3" t="s">
        <v>40</v>
      </c>
      <c r="C10" s="2" t="s">
        <v>69</v>
      </c>
      <c r="D10" s="4" t="s">
        <v>70</v>
      </c>
      <c r="E10" s="2" t="s">
        <v>71</v>
      </c>
      <c r="F10" s="3" t="s">
        <v>72</v>
      </c>
      <c r="G10" s="3" t="s">
        <v>73</v>
      </c>
      <c r="H10" s="3"/>
      <c r="I10" s="5" t="n">
        <f aca="false">1+COUNTA(F10:H10)</f>
        <v>3</v>
      </c>
      <c r="J10" s="6" t="s">
        <v>74</v>
      </c>
    </row>
    <row r="11" customFormat="false" ht="15" hidden="false" customHeight="false" outlineLevel="0" collapsed="false">
      <c r="A11" s="2" t="s">
        <v>75</v>
      </c>
      <c r="B11" s="3" t="s">
        <v>40</v>
      </c>
      <c r="C11" s="2" t="s">
        <v>76</v>
      </c>
      <c r="D11" s="4" t="s">
        <v>77</v>
      </c>
      <c r="E11" s="2" t="s">
        <v>78</v>
      </c>
      <c r="F11" s="3" t="s">
        <v>79</v>
      </c>
      <c r="G11" s="3" t="s">
        <v>80</v>
      </c>
      <c r="H11" s="3" t="s">
        <v>81</v>
      </c>
      <c r="I11" s="5" t="n">
        <f aca="false">1+COUNTA(F11:H11)</f>
        <v>4</v>
      </c>
      <c r="J11" s="3"/>
    </row>
    <row r="12" customFormat="false" ht="15" hidden="false" customHeight="false" outlineLevel="0" collapsed="false">
      <c r="A12" s="2" t="s">
        <v>82</v>
      </c>
      <c r="B12" s="3" t="s">
        <v>83</v>
      </c>
      <c r="C12" s="2" t="s">
        <v>84</v>
      </c>
      <c r="D12" s="4" t="s">
        <v>85</v>
      </c>
      <c r="E12" s="2" t="s">
        <v>86</v>
      </c>
      <c r="F12" s="3" t="s">
        <v>87</v>
      </c>
      <c r="G12" s="3" t="s">
        <v>88</v>
      </c>
      <c r="H12" s="3"/>
      <c r="I12" s="5" t="n">
        <f aca="false">1+COUNTA(F12:H12)</f>
        <v>3</v>
      </c>
      <c r="J12" s="3"/>
    </row>
    <row r="13" customFormat="false" ht="23.85" hidden="false" customHeight="false" outlineLevel="0" collapsed="false">
      <c r="A13" s="2" t="s">
        <v>89</v>
      </c>
      <c r="B13" s="3" t="s">
        <v>90</v>
      </c>
      <c r="C13" s="2" t="s">
        <v>91</v>
      </c>
      <c r="D13" s="4" t="s">
        <v>92</v>
      </c>
      <c r="E13" s="2" t="s">
        <v>93</v>
      </c>
      <c r="F13" s="3" t="s">
        <v>94</v>
      </c>
      <c r="G13" s="3" t="s">
        <v>95</v>
      </c>
      <c r="H13" s="3" t="s">
        <v>96</v>
      </c>
      <c r="I13" s="5" t="n">
        <f aca="false">1+COUNTA(F13:H13)</f>
        <v>4</v>
      </c>
      <c r="J13" s="3"/>
    </row>
    <row r="14" customFormat="false" ht="15" hidden="false" customHeight="false" outlineLevel="0" collapsed="false">
      <c r="A14" s="2" t="s">
        <v>97</v>
      </c>
      <c r="B14" s="3" t="s">
        <v>98</v>
      </c>
      <c r="C14" s="2" t="s">
        <v>99</v>
      </c>
      <c r="D14" s="4" t="s">
        <v>100</v>
      </c>
      <c r="E14" s="2" t="s">
        <v>101</v>
      </c>
      <c r="F14" s="3" t="s">
        <v>102</v>
      </c>
      <c r="G14" s="3" t="s">
        <v>103</v>
      </c>
      <c r="H14" s="3" t="s">
        <v>104</v>
      </c>
      <c r="I14" s="5" t="n">
        <f aca="false">1+COUNTA(F14:H14)</f>
        <v>4</v>
      </c>
      <c r="J14" s="3"/>
    </row>
    <row r="15" customFormat="false" ht="15" hidden="false" customHeight="false" outlineLevel="0" collapsed="false">
      <c r="A15" s="2" t="s">
        <v>105</v>
      </c>
      <c r="B15" s="3" t="s">
        <v>106</v>
      </c>
      <c r="C15" s="2" t="s">
        <v>107</v>
      </c>
      <c r="D15" s="4" t="s">
        <v>108</v>
      </c>
      <c r="E15" s="2" t="s">
        <v>109</v>
      </c>
      <c r="F15" s="3" t="s">
        <v>110</v>
      </c>
      <c r="G15" s="3" t="s">
        <v>111</v>
      </c>
      <c r="H15" s="3" t="s">
        <v>112</v>
      </c>
      <c r="I15" s="5" t="n">
        <f aca="false">1+COUNTA(F15:H15)</f>
        <v>4</v>
      </c>
      <c r="J15" s="3"/>
    </row>
    <row r="16" customFormat="false" ht="15" hidden="false" customHeight="false" outlineLevel="0" collapsed="false">
      <c r="A16" s="2" t="s">
        <v>113</v>
      </c>
      <c r="B16" s="3" t="s">
        <v>61</v>
      </c>
      <c r="C16" s="2" t="s">
        <v>114</v>
      </c>
      <c r="D16" s="4" t="s">
        <v>115</v>
      </c>
      <c r="E16" s="2" t="s">
        <v>116</v>
      </c>
      <c r="F16" s="3" t="s">
        <v>117</v>
      </c>
      <c r="G16" s="3" t="s">
        <v>118</v>
      </c>
      <c r="H16" s="3" t="s">
        <v>119</v>
      </c>
      <c r="I16" s="5" t="n">
        <f aca="false">1+COUNTA(F16:H16)</f>
        <v>4</v>
      </c>
      <c r="J16" s="3"/>
    </row>
    <row r="17" customFormat="false" ht="15" hidden="false" customHeight="false" outlineLevel="0" collapsed="false">
      <c r="A17" s="2" t="s">
        <v>120</v>
      </c>
      <c r="B17" s="3" t="s">
        <v>121</v>
      </c>
      <c r="C17" s="2" t="s">
        <v>122</v>
      </c>
      <c r="D17" s="4" t="s">
        <v>123</v>
      </c>
      <c r="E17" s="2" t="s">
        <v>124</v>
      </c>
      <c r="F17" s="3" t="s">
        <v>125</v>
      </c>
      <c r="G17" s="3" t="s">
        <v>126</v>
      </c>
      <c r="H17" s="3" t="s">
        <v>127</v>
      </c>
      <c r="I17" s="5" t="n">
        <f aca="false">1+COUNTA(F17:H17)</f>
        <v>4</v>
      </c>
      <c r="J17" s="3"/>
    </row>
    <row r="18" customFormat="false" ht="23.85" hidden="false" customHeight="false" outlineLevel="0" collapsed="false">
      <c r="A18" s="2" t="s">
        <v>128</v>
      </c>
      <c r="B18" s="3" t="s">
        <v>98</v>
      </c>
      <c r="C18" s="2" t="s">
        <v>129</v>
      </c>
      <c r="D18" s="4" t="s">
        <v>130</v>
      </c>
      <c r="E18" s="2" t="s">
        <v>131</v>
      </c>
      <c r="F18" s="3" t="s">
        <v>132</v>
      </c>
      <c r="G18" s="3" t="s">
        <v>133</v>
      </c>
      <c r="H18" s="3"/>
      <c r="I18" s="5" t="n">
        <f aca="false">1+COUNTA(F18:H18)</f>
        <v>3</v>
      </c>
      <c r="J18" s="6" t="s">
        <v>134</v>
      </c>
    </row>
    <row r="19" customFormat="false" ht="15" hidden="false" customHeight="false" outlineLevel="0" collapsed="false">
      <c r="A19" s="2" t="s">
        <v>135</v>
      </c>
      <c r="B19" s="3" t="s">
        <v>136</v>
      </c>
      <c r="C19" s="2" t="s">
        <v>137</v>
      </c>
      <c r="D19" s="4" t="s">
        <v>138</v>
      </c>
      <c r="E19" s="2" t="s">
        <v>139</v>
      </c>
      <c r="F19" s="3" t="s">
        <v>140</v>
      </c>
      <c r="G19" s="3" t="s">
        <v>141</v>
      </c>
      <c r="H19" s="3" t="s">
        <v>142</v>
      </c>
      <c r="I19" s="5" t="n">
        <f aca="false">1+COUNTA(F19:H19)</f>
        <v>4</v>
      </c>
      <c r="J19" s="3"/>
    </row>
    <row r="20" customFormat="false" ht="23.85" hidden="false" customHeight="false" outlineLevel="0" collapsed="false">
      <c r="A20" s="2" t="s">
        <v>143</v>
      </c>
      <c r="B20" s="3" t="s">
        <v>144</v>
      </c>
      <c r="C20" s="2" t="s">
        <v>145</v>
      </c>
      <c r="D20" s="4" t="s">
        <v>146</v>
      </c>
      <c r="E20" s="2" t="s">
        <v>147</v>
      </c>
      <c r="F20" s="3" t="s">
        <v>148</v>
      </c>
      <c r="G20" s="3" t="s">
        <v>149</v>
      </c>
      <c r="H20" s="3"/>
      <c r="I20" s="5" t="n">
        <f aca="false">1+COUNTA(F20:H20)</f>
        <v>3</v>
      </c>
      <c r="J20" s="3"/>
    </row>
    <row r="21" customFormat="false" ht="15" hidden="false" customHeight="false" outlineLevel="0" collapsed="false">
      <c r="A21" s="2" t="s">
        <v>150</v>
      </c>
      <c r="B21" s="3" t="s">
        <v>151</v>
      </c>
      <c r="C21" s="2" t="s">
        <v>152</v>
      </c>
      <c r="D21" s="4" t="s">
        <v>153</v>
      </c>
      <c r="E21" s="2" t="s">
        <v>154</v>
      </c>
      <c r="F21" s="3" t="s">
        <v>155</v>
      </c>
      <c r="G21" s="3" t="s">
        <v>156</v>
      </c>
      <c r="H21" s="3" t="s">
        <v>157</v>
      </c>
      <c r="I21" s="5" t="n">
        <f aca="false">1+COUNTA(F21:H21)</f>
        <v>4</v>
      </c>
      <c r="J21" s="3"/>
    </row>
    <row r="22" customFormat="false" ht="15" hidden="false" customHeight="false" outlineLevel="0" collapsed="false">
      <c r="A22" s="2" t="s">
        <v>158</v>
      </c>
      <c r="B22" s="3" t="s">
        <v>40</v>
      </c>
      <c r="C22" s="2" t="s">
        <v>159</v>
      </c>
      <c r="D22" s="4" t="s">
        <v>160</v>
      </c>
      <c r="E22" s="2" t="s">
        <v>161</v>
      </c>
      <c r="F22" s="3" t="s">
        <v>162</v>
      </c>
      <c r="G22" s="3" t="s">
        <v>163</v>
      </c>
      <c r="H22" s="3" t="s">
        <v>164</v>
      </c>
      <c r="I22" s="5" t="n">
        <f aca="false">1+COUNTA(F22:H22)</f>
        <v>4</v>
      </c>
      <c r="J22" s="3"/>
    </row>
    <row r="23" customFormat="false" ht="15" hidden="false" customHeight="false" outlineLevel="0" collapsed="false">
      <c r="A23" s="2" t="s">
        <v>165</v>
      </c>
      <c r="B23" s="3" t="s">
        <v>166</v>
      </c>
      <c r="C23" s="2" t="s">
        <v>167</v>
      </c>
      <c r="D23" s="4" t="s">
        <v>168</v>
      </c>
      <c r="E23" s="2" t="s">
        <v>169</v>
      </c>
      <c r="F23" s="3" t="s">
        <v>170</v>
      </c>
      <c r="G23" s="3" t="s">
        <v>171</v>
      </c>
      <c r="H23" s="3"/>
      <c r="I23" s="5" t="n">
        <f aca="false">1+COUNTA(F23:H23)</f>
        <v>3</v>
      </c>
      <c r="J23" s="3"/>
    </row>
    <row r="24" customFormat="false" ht="15" hidden="false" customHeight="false" outlineLevel="0" collapsed="false">
      <c r="A24" s="2" t="s">
        <v>172</v>
      </c>
      <c r="B24" s="3" t="s">
        <v>40</v>
      </c>
      <c r="C24" s="2" t="s">
        <v>173</v>
      </c>
      <c r="D24" s="4" t="s">
        <v>174</v>
      </c>
      <c r="E24" s="2" t="s">
        <v>175</v>
      </c>
      <c r="F24" s="3" t="s">
        <v>176</v>
      </c>
      <c r="G24" s="3" t="s">
        <v>177</v>
      </c>
      <c r="H24" s="3" t="s">
        <v>178</v>
      </c>
      <c r="I24" s="5" t="n">
        <f aca="false">1+COUNTA(F24:H24)</f>
        <v>4</v>
      </c>
      <c r="J24" s="6" t="s">
        <v>179</v>
      </c>
    </row>
    <row r="25" customFormat="false" ht="15" hidden="false" customHeight="false" outlineLevel="0" collapsed="false">
      <c r="A25" s="2" t="s">
        <v>180</v>
      </c>
      <c r="B25" s="3" t="s">
        <v>181</v>
      </c>
      <c r="C25" s="2" t="s">
        <v>182</v>
      </c>
      <c r="D25" s="4" t="s">
        <v>183</v>
      </c>
      <c r="E25" s="2" t="s">
        <v>184</v>
      </c>
      <c r="F25" s="3" t="s">
        <v>185</v>
      </c>
      <c r="G25" s="3" t="s">
        <v>186</v>
      </c>
      <c r="H25" s="3" t="s">
        <v>187</v>
      </c>
      <c r="I25" s="5" t="n">
        <f aca="false">1+COUNTA(F25:H25)</f>
        <v>4</v>
      </c>
      <c r="J25" s="3"/>
    </row>
    <row r="26" customFormat="false" ht="15" hidden="false" customHeight="false" outlineLevel="0" collapsed="false">
      <c r="A26" s="2" t="s">
        <v>188</v>
      </c>
      <c r="B26" s="3" t="s">
        <v>40</v>
      </c>
      <c r="C26" s="2" t="s">
        <v>189</v>
      </c>
      <c r="D26" s="4" t="s">
        <v>190</v>
      </c>
      <c r="E26" s="2" t="s">
        <v>191</v>
      </c>
      <c r="F26" s="3" t="s">
        <v>192</v>
      </c>
      <c r="G26" s="3" t="s">
        <v>193</v>
      </c>
      <c r="H26" s="3" t="s">
        <v>194</v>
      </c>
      <c r="I26" s="5" t="n">
        <f aca="false">1+COUNTA(F26:H26)</f>
        <v>4</v>
      </c>
      <c r="J26" s="6" t="s">
        <v>195</v>
      </c>
    </row>
    <row r="27" customFormat="false" ht="23.85" hidden="false" customHeight="false" outlineLevel="0" collapsed="false">
      <c r="A27" s="2" t="s">
        <v>196</v>
      </c>
      <c r="B27" s="3" t="s">
        <v>197</v>
      </c>
      <c r="C27" s="2" t="s">
        <v>198</v>
      </c>
      <c r="D27" s="4" t="s">
        <v>199</v>
      </c>
      <c r="E27" s="2" t="s">
        <v>200</v>
      </c>
      <c r="F27" s="3" t="s">
        <v>201</v>
      </c>
      <c r="G27" s="3" t="s">
        <v>202</v>
      </c>
      <c r="H27" s="3" t="s">
        <v>203</v>
      </c>
      <c r="I27" s="5" t="n">
        <f aca="false">1+COUNTA(F27:H27)</f>
        <v>4</v>
      </c>
      <c r="J27" s="3"/>
    </row>
    <row r="28" customFormat="false" ht="15" hidden="false" customHeight="false" outlineLevel="0" collapsed="false">
      <c r="A28" s="2" t="s">
        <v>204</v>
      </c>
      <c r="B28" s="3" t="s">
        <v>151</v>
      </c>
      <c r="C28" s="2" t="s">
        <v>205</v>
      </c>
      <c r="D28" s="4" t="s">
        <v>206</v>
      </c>
      <c r="E28" s="2" t="s">
        <v>207</v>
      </c>
      <c r="F28" s="3" t="s">
        <v>208</v>
      </c>
      <c r="G28" s="3" t="s">
        <v>209</v>
      </c>
      <c r="H28" s="3" t="s">
        <v>210</v>
      </c>
      <c r="I28" s="5" t="n">
        <f aca="false">1+COUNTA(F28:H28)</f>
        <v>4</v>
      </c>
      <c r="J28" s="3"/>
    </row>
    <row r="29" customFormat="false" ht="15" hidden="false" customHeight="false" outlineLevel="0" collapsed="false">
      <c r="A29" s="2" t="s">
        <v>211</v>
      </c>
      <c r="B29" s="3" t="s">
        <v>27</v>
      </c>
      <c r="C29" s="2" t="s">
        <v>212</v>
      </c>
      <c r="D29" s="4" t="s">
        <v>213</v>
      </c>
      <c r="E29" s="2" t="s">
        <v>214</v>
      </c>
      <c r="F29" s="3" t="s">
        <v>215</v>
      </c>
      <c r="G29" s="3" t="s">
        <v>216</v>
      </c>
      <c r="H29" s="3" t="s">
        <v>217</v>
      </c>
      <c r="I29" s="5" t="n">
        <f aca="false">1+COUNTA(F29:H29)</f>
        <v>4</v>
      </c>
      <c r="J29" s="3"/>
    </row>
    <row r="30" customFormat="false" ht="15" hidden="false" customHeight="false" outlineLevel="0" collapsed="false">
      <c r="A30" s="2" t="s">
        <v>218</v>
      </c>
      <c r="B30" s="3" t="s">
        <v>98</v>
      </c>
      <c r="C30" s="2" t="s">
        <v>219</v>
      </c>
      <c r="D30" s="4" t="s">
        <v>220</v>
      </c>
      <c r="E30" s="2" t="s">
        <v>221</v>
      </c>
      <c r="F30" s="3" t="s">
        <v>222</v>
      </c>
      <c r="G30" s="3" t="s">
        <v>223</v>
      </c>
      <c r="H30" s="3" t="s">
        <v>224</v>
      </c>
      <c r="I30" s="5" t="n">
        <f aca="false">1+COUNTA(F30:H30)</f>
        <v>4</v>
      </c>
      <c r="J30" s="3"/>
    </row>
    <row r="31" customFormat="false" ht="15" hidden="false" customHeight="false" outlineLevel="0" collapsed="false">
      <c r="A31" s="2" t="s">
        <v>225</v>
      </c>
      <c r="B31" s="3" t="s">
        <v>226</v>
      </c>
      <c r="C31" s="2" t="s">
        <v>227</v>
      </c>
      <c r="D31" s="4" t="s">
        <v>228</v>
      </c>
      <c r="E31" s="2" t="s">
        <v>229</v>
      </c>
      <c r="F31" s="3" t="s">
        <v>230</v>
      </c>
      <c r="G31" s="3" t="s">
        <v>231</v>
      </c>
      <c r="H31" s="3" t="s">
        <v>232</v>
      </c>
      <c r="I31" s="5" t="n">
        <f aca="false">1+COUNTA(F31:H31)</f>
        <v>4</v>
      </c>
      <c r="J31" s="3"/>
    </row>
    <row r="32" customFormat="false" ht="15" hidden="false" customHeight="false" outlineLevel="0" collapsed="false">
      <c r="A32" s="2" t="s">
        <v>233</v>
      </c>
      <c r="B32" s="3" t="s">
        <v>61</v>
      </c>
      <c r="C32" s="2" t="s">
        <v>234</v>
      </c>
      <c r="D32" s="4" t="s">
        <v>235</v>
      </c>
      <c r="E32" s="2" t="s">
        <v>236</v>
      </c>
      <c r="F32" s="3" t="s">
        <v>237</v>
      </c>
      <c r="G32" s="3" t="s">
        <v>238</v>
      </c>
      <c r="H32" s="3"/>
      <c r="I32" s="5" t="n">
        <f aca="false">1+COUNTA(F32:H32)</f>
        <v>3</v>
      </c>
      <c r="J32" s="3"/>
    </row>
    <row r="33" customFormat="false" ht="15" hidden="false" customHeight="false" outlineLevel="0" collapsed="false">
      <c r="A33" s="2" t="s">
        <v>239</v>
      </c>
      <c r="B33" s="3" t="s">
        <v>27</v>
      </c>
      <c r="C33" s="2" t="s">
        <v>240</v>
      </c>
      <c r="D33" s="4" t="s">
        <v>241</v>
      </c>
      <c r="E33" s="2" t="s">
        <v>242</v>
      </c>
      <c r="F33" s="3" t="s">
        <v>243</v>
      </c>
      <c r="G33" s="3" t="s">
        <v>244</v>
      </c>
      <c r="H33" s="3"/>
      <c r="I33" s="5" t="n">
        <f aca="false">1+COUNTA(F33:H33)</f>
        <v>3</v>
      </c>
      <c r="J33" s="3"/>
    </row>
    <row r="34" customFormat="false" ht="15" hidden="false" customHeight="false" outlineLevel="0" collapsed="false">
      <c r="A34" s="2" t="s">
        <v>245</v>
      </c>
      <c r="B34" s="3" t="s">
        <v>27</v>
      </c>
      <c r="C34" s="2" t="s">
        <v>246</v>
      </c>
      <c r="D34" s="4" t="s">
        <v>247</v>
      </c>
      <c r="E34" s="2" t="s">
        <v>248</v>
      </c>
      <c r="F34" s="3" t="s">
        <v>249</v>
      </c>
      <c r="G34" s="3" t="s">
        <v>250</v>
      </c>
      <c r="H34" s="3"/>
      <c r="I34" s="5" t="n">
        <f aca="false">1+COUNTA(F34:H34)</f>
        <v>3</v>
      </c>
      <c r="J34" s="3"/>
    </row>
    <row r="35" customFormat="false" ht="15" hidden="false" customHeight="false" outlineLevel="0" collapsed="false">
      <c r="A35" s="2" t="s">
        <v>251</v>
      </c>
      <c r="B35" s="3" t="s">
        <v>151</v>
      </c>
      <c r="C35" s="2" t="s">
        <v>252</v>
      </c>
      <c r="D35" s="4" t="s">
        <v>253</v>
      </c>
      <c r="E35" s="2" t="s">
        <v>254</v>
      </c>
      <c r="F35" s="3" t="s">
        <v>255</v>
      </c>
      <c r="G35" s="3" t="s">
        <v>256</v>
      </c>
      <c r="H35" s="3" t="s">
        <v>257</v>
      </c>
      <c r="I35" s="5" t="n">
        <f aca="false">1+COUNTA(F35:H35)</f>
        <v>4</v>
      </c>
      <c r="J35" s="3"/>
    </row>
    <row r="36" customFormat="false" ht="15" hidden="false" customHeight="false" outlineLevel="0" collapsed="false">
      <c r="A36" s="2" t="s">
        <v>258</v>
      </c>
      <c r="B36" s="3" t="s">
        <v>27</v>
      </c>
      <c r="C36" s="2" t="s">
        <v>259</v>
      </c>
      <c r="D36" s="4" t="s">
        <v>260</v>
      </c>
      <c r="E36" s="2" t="s">
        <v>261</v>
      </c>
      <c r="F36" s="3" t="s">
        <v>262</v>
      </c>
      <c r="G36" s="3" t="s">
        <v>263</v>
      </c>
      <c r="H36" s="3"/>
      <c r="I36" s="5" t="n">
        <f aca="false">1+COUNTA(F36:H36)</f>
        <v>3</v>
      </c>
      <c r="J36" s="3"/>
    </row>
    <row r="37" customFormat="false" ht="15" hidden="false" customHeight="false" outlineLevel="0" collapsed="false">
      <c r="A37" s="2" t="s">
        <v>264</v>
      </c>
      <c r="B37" s="3" t="s">
        <v>151</v>
      </c>
      <c r="C37" s="2" t="s">
        <v>265</v>
      </c>
      <c r="D37" s="4" t="s">
        <v>266</v>
      </c>
      <c r="E37" s="2" t="s">
        <v>267</v>
      </c>
      <c r="F37" s="3" t="s">
        <v>268</v>
      </c>
      <c r="G37" s="3" t="s">
        <v>269</v>
      </c>
      <c r="H37" s="3" t="s">
        <v>270</v>
      </c>
      <c r="I37" s="5" t="n">
        <f aca="false">1+COUNTA(F37:H37)</f>
        <v>4</v>
      </c>
      <c r="J37" s="3"/>
    </row>
    <row r="38" customFormat="false" ht="15" hidden="false" customHeight="false" outlineLevel="0" collapsed="false">
      <c r="A38" s="2" t="s">
        <v>271</v>
      </c>
      <c r="B38" s="3" t="s">
        <v>151</v>
      </c>
      <c r="C38" s="2" t="s">
        <v>272</v>
      </c>
      <c r="D38" s="4" t="s">
        <v>273</v>
      </c>
      <c r="E38" s="2" t="s">
        <v>274</v>
      </c>
      <c r="F38" s="3" t="s">
        <v>275</v>
      </c>
      <c r="G38" s="3" t="s">
        <v>276</v>
      </c>
      <c r="H38" s="3" t="s">
        <v>277</v>
      </c>
      <c r="I38" s="5" t="n">
        <f aca="false">1+COUNTA(F38:H38)</f>
        <v>4</v>
      </c>
      <c r="J38" s="3"/>
    </row>
    <row r="39" customFormat="false" ht="15" hidden="false" customHeight="false" outlineLevel="0" collapsed="false">
      <c r="A39" s="2" t="s">
        <v>278</v>
      </c>
      <c r="B39" s="3" t="s">
        <v>279</v>
      </c>
      <c r="C39" s="2" t="s">
        <v>280</v>
      </c>
      <c r="D39" s="4" t="s">
        <v>281</v>
      </c>
      <c r="E39" s="2" t="s">
        <v>282</v>
      </c>
      <c r="F39" s="3" t="s">
        <v>283</v>
      </c>
      <c r="G39" s="3" t="s">
        <v>284</v>
      </c>
      <c r="H39" s="3" t="s">
        <v>285</v>
      </c>
      <c r="I39" s="5" t="n">
        <f aca="false">1+COUNTA(F39:H39)</f>
        <v>4</v>
      </c>
      <c r="J39" s="3"/>
    </row>
    <row r="40" customFormat="false" ht="23.85" hidden="false" customHeight="false" outlineLevel="0" collapsed="false">
      <c r="A40" s="2" t="s">
        <v>286</v>
      </c>
      <c r="B40" s="3" t="s">
        <v>287</v>
      </c>
      <c r="C40" s="2" t="s">
        <v>288</v>
      </c>
      <c r="D40" s="4" t="s">
        <v>289</v>
      </c>
      <c r="E40" s="2" t="s">
        <v>290</v>
      </c>
      <c r="F40" s="3" t="s">
        <v>291</v>
      </c>
      <c r="G40" s="3" t="s">
        <v>292</v>
      </c>
      <c r="H40" s="3"/>
      <c r="I40" s="5" t="n">
        <f aca="false">1+COUNTA(F40:H40)</f>
        <v>3</v>
      </c>
      <c r="J40" s="6" t="s">
        <v>293</v>
      </c>
    </row>
    <row r="41" customFormat="false" ht="15" hidden="false" customHeight="false" outlineLevel="0" collapsed="false">
      <c r="A41" s="2" t="s">
        <v>294</v>
      </c>
      <c r="B41" s="3" t="s">
        <v>151</v>
      </c>
      <c r="C41" s="2" t="s">
        <v>295</v>
      </c>
      <c r="D41" s="4" t="s">
        <v>296</v>
      </c>
      <c r="E41" s="2" t="s">
        <v>297</v>
      </c>
      <c r="F41" s="3" t="s">
        <v>298</v>
      </c>
      <c r="G41" s="3" t="s">
        <v>299</v>
      </c>
      <c r="H41" s="3" t="s">
        <v>300</v>
      </c>
      <c r="I41" s="5" t="n">
        <f aca="false">1+COUNTA(F41:H41)</f>
        <v>4</v>
      </c>
      <c r="J41" s="3"/>
    </row>
    <row r="42" customFormat="false" ht="15" hidden="false" customHeight="false" outlineLevel="0" collapsed="false">
      <c r="A42" s="2" t="s">
        <v>301</v>
      </c>
      <c r="B42" s="3" t="s">
        <v>151</v>
      </c>
      <c r="C42" s="2" t="s">
        <v>302</v>
      </c>
      <c r="D42" s="4" t="s">
        <v>303</v>
      </c>
      <c r="E42" s="2" t="s">
        <v>304</v>
      </c>
      <c r="F42" s="3" t="s">
        <v>305</v>
      </c>
      <c r="G42" s="3" t="s">
        <v>306</v>
      </c>
      <c r="H42" s="3"/>
      <c r="I42" s="5" t="n">
        <f aca="false">1+COUNTA(F42:H42)</f>
        <v>3</v>
      </c>
      <c r="J42" s="3"/>
    </row>
    <row r="43" customFormat="false" ht="15" hidden="false" customHeight="false" outlineLevel="0" collapsed="false">
      <c r="A43" s="2" t="s">
        <v>307</v>
      </c>
      <c r="B43" s="3" t="s">
        <v>11</v>
      </c>
      <c r="C43" s="2" t="s">
        <v>308</v>
      </c>
      <c r="D43" s="4" t="s">
        <v>309</v>
      </c>
      <c r="E43" s="2" t="s">
        <v>310</v>
      </c>
      <c r="F43" s="3" t="s">
        <v>311</v>
      </c>
      <c r="G43" s="3" t="s">
        <v>312</v>
      </c>
      <c r="H43" s="3" t="s">
        <v>313</v>
      </c>
      <c r="I43" s="5" t="n">
        <f aca="false">1+COUNTA(F43:H43)</f>
        <v>4</v>
      </c>
      <c r="J43" s="3"/>
    </row>
    <row r="44" customFormat="false" ht="23.85" hidden="false" customHeight="false" outlineLevel="0" collapsed="false">
      <c r="A44" s="2" t="s">
        <v>314</v>
      </c>
      <c r="B44" s="3" t="s">
        <v>315</v>
      </c>
      <c r="C44" s="2" t="s">
        <v>316</v>
      </c>
      <c r="D44" s="4" t="s">
        <v>317</v>
      </c>
      <c r="E44" s="2" t="s">
        <v>318</v>
      </c>
      <c r="F44" s="3" t="s">
        <v>319</v>
      </c>
      <c r="G44" s="3" t="s">
        <v>320</v>
      </c>
      <c r="H44" s="3" t="s">
        <v>321</v>
      </c>
      <c r="I44" s="5" t="n">
        <f aca="false">1+COUNTA(F44:H44)</f>
        <v>4</v>
      </c>
      <c r="J44" s="3"/>
    </row>
    <row r="45" customFormat="false" ht="23.85" hidden="false" customHeight="false" outlineLevel="0" collapsed="false">
      <c r="A45" s="2" t="s">
        <v>322</v>
      </c>
      <c r="B45" s="3" t="s">
        <v>323</v>
      </c>
      <c r="C45" s="2" t="s">
        <v>324</v>
      </c>
      <c r="D45" s="4" t="s">
        <v>325</v>
      </c>
      <c r="E45" s="2" t="s">
        <v>326</v>
      </c>
      <c r="F45" s="3" t="s">
        <v>327</v>
      </c>
      <c r="G45" s="3" t="s">
        <v>328</v>
      </c>
      <c r="H45" s="3" t="s">
        <v>329</v>
      </c>
      <c r="I45" s="5" t="n">
        <f aca="false">1+COUNTA(F45:H45)</f>
        <v>4</v>
      </c>
      <c r="J45" s="3"/>
    </row>
    <row r="46" customFormat="false" ht="15" hidden="false" customHeight="false" outlineLevel="0" collapsed="false">
      <c r="A46" s="2" t="s">
        <v>330</v>
      </c>
      <c r="B46" s="3" t="s">
        <v>106</v>
      </c>
      <c r="C46" s="2" t="s">
        <v>331</v>
      </c>
      <c r="D46" s="4" t="s">
        <v>332</v>
      </c>
      <c r="E46" s="2" t="s">
        <v>333</v>
      </c>
      <c r="F46" s="3" t="s">
        <v>334</v>
      </c>
      <c r="G46" s="3" t="s">
        <v>335</v>
      </c>
      <c r="H46" s="3"/>
      <c r="I46" s="5" t="n">
        <f aca="false">1+COUNTA(F46:H46)</f>
        <v>3</v>
      </c>
      <c r="J46" s="3"/>
    </row>
    <row r="47" customFormat="false" ht="23.85" hidden="false" customHeight="false" outlineLevel="0" collapsed="false">
      <c r="A47" s="2" t="s">
        <v>336</v>
      </c>
      <c r="B47" s="3" t="s">
        <v>337</v>
      </c>
      <c r="C47" s="2" t="s">
        <v>338</v>
      </c>
      <c r="D47" s="4" t="s">
        <v>339</v>
      </c>
      <c r="E47" s="2" t="s">
        <v>340</v>
      </c>
      <c r="F47" s="3" t="s">
        <v>341</v>
      </c>
      <c r="G47" s="3" t="s">
        <v>342</v>
      </c>
      <c r="H47" s="3" t="s">
        <v>343</v>
      </c>
      <c r="I47" s="5" t="n">
        <f aca="false">1+COUNTA(F47:H47)</f>
        <v>4</v>
      </c>
      <c r="J47" s="6" t="s">
        <v>344</v>
      </c>
    </row>
    <row r="48" customFormat="false" ht="15" hidden="false" customHeight="false" outlineLevel="0" collapsed="false">
      <c r="A48" s="2" t="s">
        <v>345</v>
      </c>
      <c r="B48" s="3" t="s">
        <v>279</v>
      </c>
      <c r="C48" s="2" t="s">
        <v>346</v>
      </c>
      <c r="D48" s="4" t="s">
        <v>347</v>
      </c>
      <c r="E48" s="2" t="s">
        <v>348</v>
      </c>
      <c r="F48" s="3" t="s">
        <v>349</v>
      </c>
      <c r="G48" s="3" t="s">
        <v>350</v>
      </c>
      <c r="H48" s="3" t="s">
        <v>351</v>
      </c>
      <c r="I48" s="5" t="n">
        <f aca="false">1+COUNTA(F48:H48)</f>
        <v>4</v>
      </c>
      <c r="J48" s="6" t="s">
        <v>352</v>
      </c>
    </row>
    <row r="49" customFormat="false" ht="15" hidden="false" customHeight="false" outlineLevel="0" collapsed="false">
      <c r="A49" s="2" t="s">
        <v>353</v>
      </c>
      <c r="B49" s="3" t="s">
        <v>354</v>
      </c>
      <c r="C49" s="2" t="s">
        <v>355</v>
      </c>
      <c r="D49" s="4" t="s">
        <v>356</v>
      </c>
      <c r="E49" s="2" t="s">
        <v>357</v>
      </c>
      <c r="F49" s="3" t="s">
        <v>358</v>
      </c>
      <c r="G49" s="3" t="s">
        <v>359</v>
      </c>
      <c r="H49" s="3" t="s">
        <v>360</v>
      </c>
      <c r="I49" s="5" t="n">
        <f aca="false">1+COUNTA(F49:H49)</f>
        <v>4</v>
      </c>
      <c r="J49" s="3"/>
    </row>
    <row r="50" customFormat="false" ht="15" hidden="false" customHeight="false" outlineLevel="0" collapsed="false">
      <c r="A50" s="2" t="s">
        <v>361</v>
      </c>
      <c r="B50" s="3" t="s">
        <v>362</v>
      </c>
      <c r="C50" s="2" t="s">
        <v>363</v>
      </c>
      <c r="D50" s="4" t="s">
        <v>364</v>
      </c>
      <c r="E50" s="2" t="s">
        <v>365</v>
      </c>
      <c r="F50" s="3" t="s">
        <v>366</v>
      </c>
      <c r="G50" s="3" t="s">
        <v>367</v>
      </c>
      <c r="H50" s="3"/>
      <c r="I50" s="5" t="n">
        <f aca="false">1+COUNTA(F50:H50)</f>
        <v>3</v>
      </c>
      <c r="J50" s="3"/>
    </row>
    <row r="51" customFormat="false" ht="15" hidden="false" customHeight="false" outlineLevel="0" collapsed="false">
      <c r="A51" s="2" t="s">
        <v>368</v>
      </c>
      <c r="B51" s="3" t="s">
        <v>369</v>
      </c>
      <c r="C51" s="2" t="s">
        <v>370</v>
      </c>
      <c r="D51" s="4" t="s">
        <v>371</v>
      </c>
      <c r="E51" s="2" t="s">
        <v>372</v>
      </c>
      <c r="F51" s="3" t="s">
        <v>373</v>
      </c>
      <c r="G51" s="3" t="s">
        <v>374</v>
      </c>
      <c r="H51" s="3" t="s">
        <v>375</v>
      </c>
      <c r="I51" s="5" t="n">
        <f aca="false">1+COUNTA(F51:H51)</f>
        <v>4</v>
      </c>
      <c r="J51" s="3"/>
    </row>
    <row r="53" customFormat="false" ht="15" hidden="false" customHeight="false" outlineLevel="0" collapsed="false">
      <c r="A53" s="7" t="s">
        <v>376</v>
      </c>
      <c r="B53" s="8" t="n">
        <f aca="false">COUNTA(A2:A51)</f>
        <v>50</v>
      </c>
    </row>
    <row r="54" customFormat="false" ht="15" hidden="false" customHeight="false" outlineLevel="0" collapsed="false">
      <c r="A54" s="7" t="s">
        <v>377</v>
      </c>
      <c r="B54" s="8" t="n">
        <f aca="false">SUM(I2:I51)</f>
        <v>184</v>
      </c>
    </row>
    <row r="55" customFormat="false" ht="15" hidden="false" customHeight="false" outlineLevel="0" collapsed="false">
      <c r="A55" s="7" t="s">
        <v>378</v>
      </c>
      <c r="B55" s="8" t="n">
        <f aca="false">COUNTIF(I2:I51,4)</f>
        <v>34</v>
      </c>
    </row>
    <row r="56" customFormat="false" ht="15" hidden="false" customHeight="false" outlineLevel="0" collapsed="false">
      <c r="A56" s="7" t="s">
        <v>379</v>
      </c>
      <c r="B56" s="8" t="n">
        <f aca="false">COUNTIF(I2:I51,3)</f>
        <v>16</v>
      </c>
    </row>
    <row r="57" customFormat="false" ht="15" hidden="false" customHeight="false" outlineLevel="0" collapsed="false">
      <c r="A57" s="7" t="s">
        <v>380</v>
      </c>
      <c r="B57" s="8" t="n">
        <f aca="false">COUNTIF(I2:I51,2)</f>
        <v>0</v>
      </c>
    </row>
    <row r="59" customFormat="false" ht="15" hidden="false" customHeight="false" outlineLevel="0" collapsed="false">
      <c r="A59" s="9" t="s">
        <v>381</v>
      </c>
    </row>
  </sheetData>
  <autoFilter ref="A1:J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2026-09-23T14:45:40Z</dcterms:created>
  <dc:creator>openpyxl</dc:creator>
  <dc:description/>
  <dc:language>en-US</dc:language>
  <cp:lastModifiedBy/>
  <dcterms:modified xsi:type="dcterms:W3CDTF">2026-09-23T14:45:40Z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